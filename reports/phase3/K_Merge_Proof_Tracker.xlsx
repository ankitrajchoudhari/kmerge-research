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" sheetId="1" state="visible" r:id="rId3"/>
    <sheet name="Summary" sheetId="2" state="visible" r:id="rId4"/>
    <sheet name="Pass rules" sheetId="3" state="visible" r:id="rId5"/>
  </sheets>
  <definedNames>
    <definedName function="false" hidden="true" localSheetId="0" name="_xlnm._FilterDatabase" vbProcedure="false">Plan!$A$5:$L$19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Planned GPU hours from the Phase 3 report's 'What is left' table; item 5 is an estimate. 'under 1 h' is entered as 1 h (upper bound).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5</xdr:rowOff>
              </xdr:from>
              <xdr:to>
                <xdr:col>2</xdr:col>
                <xdr:colOff>75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Kaggle's free quota as stated in our report (30 GPU hours a week). Change it if your quota differs.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-117</xdr:colOff>
                <xdr:row>4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<sst xmlns="http://schemas.openxmlformats.org/spreadsheetml/2006/main" count="188" uniqueCount="121">
  <si>
    <t xml:space="preserve">K-Merge Phase 3: work left for full proof</t>
  </si>
  <si>
    <t xml:space="preserve">How to use: fill in the yellow cells (Actual GPU hours, Result / notes, Done?). Blue numbers are planned estimates; "under 1 h" is counted as 1 h. Totals are on the Summary sheet, pass rules on the Pass rules sheet.</t>
  </si>
  <si>
    <t xml:space="preserve">Example of a filled row (example only, not a real result):  Actual GPU hours = 4.6  ·  Result / notes = "Seed 2 done; split still ahead of K-Merge and RegMean (Holm p &lt; 0.05)"  ·  Done? = Yes</t>
  </si>
  <si>
    <t xml:space="preserve">#</t>
  </si>
  <si>
    <t xml:space="preserve">Part</t>
  </si>
  <si>
    <t xml:space="preserve">Item</t>
  </si>
  <si>
    <t xml:space="preserve">What it proves / why</t>
  </si>
  <si>
    <t xml:space="preserve">GPU hours (planned)</t>
  </si>
  <si>
    <t xml:space="preserve">GPU time as stated</t>
  </si>
  <si>
    <t xml:space="preserve">Status (5 Oct 2026)</t>
  </si>
  <si>
    <t xml:space="preserve">When</t>
  </si>
  <si>
    <t xml:space="preserve">Pass rule</t>
  </si>
  <si>
    <t xml:space="preserve">Actual GPU hours</t>
  </si>
  <si>
    <t xml:space="preserve">Result / notes</t>
  </si>
  <si>
    <t xml:space="preserve">Done?</t>
  </si>
  <si>
    <t xml:space="preserve">1. Full proof</t>
  </si>
  <si>
    <t xml:space="preserve">Crowded-slot test, seeds 1 and 2</t>
  </si>
  <si>
    <t xml:space="preserve">K-Share beating split when all 12 tasks share a 4-direction slot (94.4% vs 87.1%) wasn't luck from one seed</t>
  </si>
  <si>
    <t xml:space="preserve">~5 h</t>
  </si>
  <si>
    <t xml:space="preserve">Ready to run</t>
  </si>
  <si>
    <t xml:space="preserve">Week 1</t>
  </si>
  <si>
    <t xml:space="preserve">K-Share beats split at 4 directions on all 3 seeds</t>
  </si>
  <si>
    <t xml:space="preserve">No</t>
  </si>
  <si>
    <t xml:space="preserve">Real benchmark, seed 2</t>
  </si>
  <si>
    <t xml:space="preserve">The main result (split 98.9% vs K-Merge 90.8%) holds on 3 seeds, not just 2</t>
  </si>
  <si>
    <t xml:space="preserve">~4.5 h</t>
  </si>
  <si>
    <t xml:space="preserve">Split beats K-Merge and RegMean with p &lt; 0.05 on 3 seeds, at K = 2 and K = 4</t>
  </si>
  <si>
    <t xml:space="preserve">K-Share with exactly equal storage, real data</t>
  </si>
  <si>
    <t xml:space="preserve">K-Share's win doesn't come from its 2–8% extra storage</t>
  </si>
  <si>
    <t xml:space="preserve">under 1 h</t>
  </si>
  <si>
    <t xml:space="preserve">Small change</t>
  </si>
  <si>
    <t xml:space="preserve">Equal-storage K-Share stays within about 1 point of normal K-Share</t>
  </si>
  <si>
    <t xml:space="preserve">KnOTS baseline, real data</t>
  </si>
  <si>
    <t xml:space="preserve">Sharing also beats the strongest merging method reviewers will ask about</t>
  </si>
  <si>
    <t xml:space="preserve">Code exists in the lab</t>
  </si>
  <si>
    <t xml:space="preserve">Week 2</t>
  </si>
  <si>
    <t xml:space="preserve">Sharing also beats KnOTS on the real tasks</t>
  </si>
  <si>
    <t xml:space="preserve">Strictly online sharing, real data</t>
  </si>
  <si>
    <t xml:space="preserve">Sharing still works when the phone keeps only the slot and never the original adapters, which is K-Merge's real setting. So far this is only tested in the lab.</t>
  </si>
  <si>
    <t xml:space="preserve">~1 h (my estimate)</t>
  </si>
  <si>
    <t xml:space="preserve">Lab code exists; needs moving to the real benchmark</t>
  </si>
  <si>
    <t xml:space="preserve">Online sharing stays within about 1–2 points of the rebuilt version</t>
  </si>
  <si>
    <t xml:space="preserve">Llama-3.2-1B, the K-Merge paper's other model</t>
  </si>
  <si>
    <t xml:space="preserve">The result isn't specific to Qwen</t>
  </si>
  <si>
    <t xml:space="preserve">Small code change</t>
  </si>
  <si>
    <t xml:space="preserve">Same order on Llama: sharing first, then the best merge, then K-Merge</t>
  </si>
  <si>
    <t xml:space="preserve">2. Open items</t>
  </si>
  <si>
    <t xml:space="preserve">Analysis 4 on 3 seeds</t>
  </si>
  <si>
    <t xml:space="preserve">The French recovery (0.860 → 0.944) is still from seed 0 only</t>
  </si>
  <si>
    <t xml:space="preserve">~1 h</t>
  </si>
  <si>
    <t xml:space="preserve">Not started</t>
  </si>
  <si>
    <t xml:space="preserve">—</t>
  </si>
  <si>
    <t xml:space="preserve">Phase 1 checks (professor's items 20–21)</t>
  </si>
  <si>
    <t xml:space="preserve">The seed-0 DE-EN rows and the per-seed similarity scores</t>
  </si>
  <si>
    <t xml:space="preserve">no GPU</t>
  </si>
  <si>
    <t xml:space="preserve">Now</t>
  </si>
  <si>
    <t xml:space="preserve">English re-score with official ERRANT (optional)</t>
  </si>
  <si>
    <t xml:space="preserve">Uses the saved outputs; answers "your grammar metric only approximates ERRANT"</t>
  </si>
  <si>
    <t xml:space="preserve">Optional; not started</t>
  </si>
  <si>
    <t xml:space="preserve">3. Own method</t>
  </si>
  <si>
    <t xml:space="preserve">Rebuild the K-Share+ code, then GPU pilot</t>
  </si>
  <si>
    <t xml:space="preserve">The draft was lost when the old workspace reset. Test it without GPU first (start now), then run the GPU pilot. This could become our own method.</t>
  </si>
  <si>
    <t xml:space="preserve">Draft lost; needs rebuilding</t>
  </si>
  <si>
    <t xml:space="preserve">4. Paper</t>
  </si>
  <si>
    <t xml:space="preserve">Phone cost: memory and rebuild time</t>
  </si>
  <si>
    <t xml:space="preserve">Supports the on-device claim; measured on a computer or a phone</t>
  </si>
  <si>
    <t xml:space="preserve">Weeks 3–4</t>
  </si>
  <si>
    <t xml:space="preserve">Real Hindi grammar data</t>
  </si>
  <si>
    <t xml:space="preserve">Blocked until the authors of a Hindi corpus share their data; an ask for the professor</t>
  </si>
  <si>
    <t xml:space="preserve">Blocked: waiting for data</t>
  </si>
  <si>
    <t xml:space="preserve">Blocked</t>
  </si>
  <si>
    <t xml:space="preserve">Add results to the shared Google Doc</t>
  </si>
  <si>
    <t xml:space="preserve">The professor's request; needs edit access from her</t>
  </si>
  <si>
    <t xml:space="preserve">Waiting for edit access</t>
  </si>
  <si>
    <t xml:space="preserve">Paper draft</t>
  </si>
  <si>
    <t xml:space="preserve">Write it after items 1–6</t>
  </si>
  <si>
    <t xml:space="preserve">After items 1–6</t>
  </si>
  <si>
    <t xml:space="preserve">Summary (updates as you fill in the Plan sheet)</t>
  </si>
  <si>
    <t xml:space="preserve">Planned GPU hours, all items</t>
  </si>
  <si>
    <t xml:space="preserve">Planned GPU hours, Part 1 (full proof, items 1–6)</t>
  </si>
  <si>
    <t xml:space="preserve">Planned GPU hours still to do (Done? is not Yes)</t>
  </si>
  <si>
    <t xml:space="preserve">Actual GPU hours used so far</t>
  </si>
  <si>
    <t xml:space="preserve">Items done</t>
  </si>
  <si>
    <t xml:space="preserve">Items in total</t>
  </si>
  <si>
    <t xml:space="preserve">Kaggle free GPU quota per week (hours)</t>
  </si>
  <si>
    <t xml:space="preserve">Weeks of quota needed for the GPU work still to do</t>
  </si>
  <si>
    <t xml:space="preserve">Plan spreads the GPU work over two weeks to leave room for reruns.</t>
  </si>
  <si>
    <t xml:space="preserve">By week</t>
  </si>
  <si>
    <t xml:space="preserve">Planned GPU hours</t>
  </si>
  <si>
    <t xml:space="preserve">Items</t>
  </si>
  <si>
    <t xml:space="preserve">Total</t>
  </si>
  <si>
    <t xml:space="preserve">Check: total by week equals the Plan total</t>
  </si>
  <si>
    <t xml:space="preserve">Pass rules: when a claim counts as proved</t>
  </si>
  <si>
    <t xml:space="preserve">Write the result next to each rule after the runs. If one rule fails, drop only that claim; the others stand on their own. "Where we are now" is from the Phase 3 report (5 October 2026).</t>
  </si>
  <si>
    <t xml:space="preserve">Claim to prove</t>
  </si>
  <si>
    <t xml:space="preserve">Pass rule (fixed before running)</t>
  </si>
  <si>
    <t xml:space="preserve">Experiment</t>
  </si>
  <si>
    <t xml:space="preserve">Where we are now</t>
  </si>
  <si>
    <t xml:space="preserve">Result (fill in)</t>
  </si>
  <si>
    <t xml:space="preserve">Passed?</t>
  </si>
  <si>
    <t xml:space="preserve">Main result: sharing beats merging on real tasks</t>
  </si>
  <si>
    <t xml:space="preserve">Item 2</t>
  </si>
  <si>
    <t xml:space="preserve">2 seeds: split 98.9%, RegMean 95.6%, K-Merge 90.8% (K = 2); all differences p &lt; 0.001 (Holm)</t>
  </si>
  <si>
    <t xml:space="preserve">Pending</t>
  </si>
  <si>
    <t xml:space="preserve">Not specific to Qwen</t>
  </si>
  <si>
    <t xml:space="preserve">On Llama-3.2-1B, same order: sharing first, then the best merge, then K-Merge</t>
  </si>
  <si>
    <t xml:space="preserve">Item 6</t>
  </si>
  <si>
    <t xml:space="preserve">Not run yet</t>
  </si>
  <si>
    <t xml:space="preserve">K-Share's win is not from extra storage</t>
  </si>
  <si>
    <t xml:space="preserve">Item 3</t>
  </si>
  <si>
    <t xml:space="preserve">K-Share 98.9% using 7.9% extra storage (K = 2); split 98.9% at exactly equal storage</t>
  </si>
  <si>
    <t xml:space="preserve">Works in K-Merge's real (online) setting</t>
  </si>
  <si>
    <t xml:space="preserve">Item 5</t>
  </si>
  <si>
    <t xml:space="preserve">Tested only in the synthetic lab; real-data slots were rebuilt from the original adapters</t>
  </si>
  <si>
    <t xml:space="preserve">Crowded slots need a shared basis</t>
  </si>
  <si>
    <t xml:space="preserve">Item 1</t>
  </si>
  <si>
    <t xml:space="preserve">1 seed: K-Share 94.4% vs split 87.1% (+7.3 points, 95% CI +5.2 to +9.2)</t>
  </si>
  <si>
    <t xml:space="preserve">Beats the strongest merge reviewers will ask about</t>
  </si>
  <si>
    <t xml:space="preserve">Item 4</t>
  </si>
  <si>
    <t xml:space="preserve">KnOTS not run on real data yet</t>
  </si>
  <si>
    <t xml:space="preserve">Rules passed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</si>
</sst>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;\-0.0;\–"/>
    <numFmt numFmtId="166" formatCode="0.0"/>
    <numFmt numFmtId="167" formatCode="0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63B"/>
      <name val="Arial"/>
      <family val="0"/>
      <charset val="1"/>
    </font>
    <font>
      <i val="true"/>
      <sz val="10"/>
      <color rgb="FF4A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1"/>
      <color rgb="FF1B263B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63B"/>
        <bgColor rgb="FF003366"/>
      </patternFill>
    </fill>
    <fill>
      <patternFill patternType="solid">
        <fgColor rgb="FFE3F1F2"/>
        <bgColor rgb="FFF1F3F5"/>
      </patternFill>
    </fill>
    <fill>
      <patternFill patternType="solid">
        <fgColor rgb="FFFFF2CC"/>
        <bgColor rgb="FFF7F1E8"/>
      </patternFill>
    </fill>
    <fill>
      <patternFill patternType="solid">
        <fgColor rgb="FFF1F3F5"/>
        <bgColor rgb="FFF7F1E8"/>
      </patternFill>
    </fill>
    <fill>
      <patternFill patternType="solid">
        <fgColor rgb="FFEFEAF5"/>
        <bgColor rgb="FFF1F3F5"/>
      </patternFill>
    </fill>
    <fill>
      <patternFill patternType="solid">
        <fgColor rgb="FFF7F1E8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6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F2"/>
          <bgColor rgb="FF000000"/>
        </patternFill>
      </fill>
    </dxf>
    <dxf>
      <fill>
        <patternFill patternType="solid">
          <fgColor rgb="FFEFEAF5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7F1E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DEBD6"/>
        </patternFill>
      </fill>
    </dxf>
    <dxf>
      <font>
        <name val="Arial"/>
        <charset val="1"/>
        <family val="0"/>
        <strike val="1"/>
        <color rgb="FF6B7785"/>
      </font>
    </dxf>
    <dxf>
      <fill>
        <patternFill>
          <bgColor rgb="FFF6D4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FEAF5"/>
      <rgbColor rgb="FF6B7785"/>
      <rgbColor rgb="FF9999FF"/>
      <rgbColor rgb="FF993366"/>
      <rgbColor rgb="FFFFF2CC"/>
      <rgbColor rgb="FFE3F1F2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5"/>
      <rgbColor rgb="FFCDEBD6"/>
      <rgbColor rgb="FFF7F1E8"/>
      <rgbColor rgb="FF99CCFF"/>
      <rgbColor rgb="FFFF99CC"/>
      <rgbColor rgb="FFCC99FF"/>
      <rgbColor rgb="FFF6D4D8"/>
      <rgbColor rgb="FF3366FF"/>
      <rgbColor rgb="FF33CCCC"/>
      <rgbColor rgb="FF99CC00"/>
      <rgbColor rgb="FFFFCC00"/>
      <rgbColor rgb="FFFF9900"/>
      <rgbColor rgb="FFFF6600"/>
      <rgbColor rgb="FF4A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6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36"/>
    <col collapsed="false" customWidth="true" hidden="false" outlineLevel="0" max="10" min="10" style="0" width="11"/>
    <col collapsed="false" customWidth="true" hidden="false" outlineLevel="0" max="11" min="11" style="0" width="36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30" hidden="false" customHeight="tru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3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3" t="s">
        <v>12</v>
      </c>
      <c r="K5" s="4" t="s">
        <v>13</v>
      </c>
      <c r="L5" s="3" t="s">
        <v>14</v>
      </c>
    </row>
    <row r="6" customFormat="false" ht="44.25" hidden="false" customHeight="true" outlineLevel="0" collapsed="false">
      <c r="A6" s="5" t="n">
        <v>1</v>
      </c>
      <c r="B6" s="6" t="s">
        <v>15</v>
      </c>
      <c r="C6" s="7" t="s">
        <v>16</v>
      </c>
      <c r="D6" s="8" t="s">
        <v>17</v>
      </c>
      <c r="E6" s="9" t="n">
        <v>5</v>
      </c>
      <c r="F6" s="8" t="s">
        <v>18</v>
      </c>
      <c r="G6" s="8" t="s">
        <v>19</v>
      </c>
      <c r="H6" s="5" t="s">
        <v>20</v>
      </c>
      <c r="I6" s="8" t="s">
        <v>21</v>
      </c>
      <c r="J6" s="10"/>
      <c r="K6" s="11"/>
      <c r="L6" s="12" t="s">
        <v>22</v>
      </c>
    </row>
    <row r="7" customFormat="false" ht="44.25" hidden="false" customHeight="true" outlineLevel="0" collapsed="false">
      <c r="A7" s="5" t="n">
        <v>2</v>
      </c>
      <c r="B7" s="6" t="s">
        <v>15</v>
      </c>
      <c r="C7" s="7" t="s">
        <v>23</v>
      </c>
      <c r="D7" s="8" t="s">
        <v>24</v>
      </c>
      <c r="E7" s="9" t="n">
        <v>4.5</v>
      </c>
      <c r="F7" s="8" t="s">
        <v>25</v>
      </c>
      <c r="G7" s="8" t="s">
        <v>19</v>
      </c>
      <c r="H7" s="5" t="s">
        <v>20</v>
      </c>
      <c r="I7" s="8" t="s">
        <v>26</v>
      </c>
      <c r="J7" s="10"/>
      <c r="K7" s="11"/>
      <c r="L7" s="12" t="s">
        <v>22</v>
      </c>
    </row>
    <row r="8" customFormat="false" ht="30.75" hidden="false" customHeight="true" outlineLevel="0" collapsed="false">
      <c r="A8" s="5" t="n">
        <v>3</v>
      </c>
      <c r="B8" s="6" t="s">
        <v>15</v>
      </c>
      <c r="C8" s="7" t="s">
        <v>27</v>
      </c>
      <c r="D8" s="8" t="s">
        <v>28</v>
      </c>
      <c r="E8" s="9" t="n">
        <v>1</v>
      </c>
      <c r="F8" s="8" t="s">
        <v>29</v>
      </c>
      <c r="G8" s="8" t="s">
        <v>30</v>
      </c>
      <c r="H8" s="5" t="s">
        <v>20</v>
      </c>
      <c r="I8" s="8" t="s">
        <v>31</v>
      </c>
      <c r="J8" s="10"/>
      <c r="K8" s="11"/>
      <c r="L8" s="12" t="s">
        <v>22</v>
      </c>
    </row>
    <row r="9" customFormat="false" ht="30.75" hidden="false" customHeight="true" outlineLevel="0" collapsed="false">
      <c r="A9" s="5" t="n">
        <v>4</v>
      </c>
      <c r="B9" s="6" t="s">
        <v>15</v>
      </c>
      <c r="C9" s="7" t="s">
        <v>32</v>
      </c>
      <c r="D9" s="8" t="s">
        <v>33</v>
      </c>
      <c r="E9" s="9" t="n">
        <v>1</v>
      </c>
      <c r="F9" s="8" t="s">
        <v>29</v>
      </c>
      <c r="G9" s="8" t="s">
        <v>34</v>
      </c>
      <c r="H9" s="5" t="s">
        <v>35</v>
      </c>
      <c r="I9" s="8" t="s">
        <v>36</v>
      </c>
      <c r="J9" s="10"/>
      <c r="K9" s="11"/>
      <c r="L9" s="12" t="s">
        <v>22</v>
      </c>
    </row>
    <row r="10" customFormat="false" ht="57.75" hidden="false" customHeight="true" outlineLevel="0" collapsed="false">
      <c r="A10" s="5" t="n">
        <v>5</v>
      </c>
      <c r="B10" s="6" t="s">
        <v>15</v>
      </c>
      <c r="C10" s="7" t="s">
        <v>37</v>
      </c>
      <c r="D10" s="8" t="s">
        <v>38</v>
      </c>
      <c r="E10" s="9" t="n">
        <v>1</v>
      </c>
      <c r="F10" s="8" t="s">
        <v>39</v>
      </c>
      <c r="G10" s="8" t="s">
        <v>40</v>
      </c>
      <c r="H10" s="5" t="s">
        <v>20</v>
      </c>
      <c r="I10" s="8" t="s">
        <v>41</v>
      </c>
      <c r="J10" s="10"/>
      <c r="K10" s="11"/>
      <c r="L10" s="12" t="s">
        <v>22</v>
      </c>
    </row>
    <row r="11" customFormat="false" ht="30.75" hidden="false" customHeight="true" outlineLevel="0" collapsed="false">
      <c r="A11" s="5" t="n">
        <v>6</v>
      </c>
      <c r="B11" s="6" t="s">
        <v>15</v>
      </c>
      <c r="C11" s="7" t="s">
        <v>42</v>
      </c>
      <c r="D11" s="8" t="s">
        <v>43</v>
      </c>
      <c r="E11" s="9" t="n">
        <v>5</v>
      </c>
      <c r="F11" s="8" t="s">
        <v>18</v>
      </c>
      <c r="G11" s="8" t="s">
        <v>44</v>
      </c>
      <c r="H11" s="5" t="s">
        <v>35</v>
      </c>
      <c r="I11" s="8" t="s">
        <v>45</v>
      </c>
      <c r="J11" s="10"/>
      <c r="K11" s="11"/>
      <c r="L11" s="12" t="s">
        <v>22</v>
      </c>
    </row>
    <row r="12" customFormat="false" ht="30.75" hidden="false" customHeight="true" outlineLevel="0" collapsed="false">
      <c r="A12" s="5" t="n">
        <v>7</v>
      </c>
      <c r="B12" s="13" t="s">
        <v>46</v>
      </c>
      <c r="C12" s="7" t="s">
        <v>47</v>
      </c>
      <c r="D12" s="8" t="s">
        <v>48</v>
      </c>
      <c r="E12" s="9" t="n">
        <v>1</v>
      </c>
      <c r="F12" s="8" t="s">
        <v>49</v>
      </c>
      <c r="G12" s="8" t="s">
        <v>50</v>
      </c>
      <c r="H12" s="5" t="s">
        <v>35</v>
      </c>
      <c r="I12" s="8" t="s">
        <v>51</v>
      </c>
      <c r="J12" s="10"/>
      <c r="K12" s="11"/>
      <c r="L12" s="12" t="s">
        <v>22</v>
      </c>
    </row>
    <row r="13" customFormat="false" ht="30.75" hidden="false" customHeight="true" outlineLevel="0" collapsed="false">
      <c r="A13" s="5" t="n">
        <v>8</v>
      </c>
      <c r="B13" s="13" t="s">
        <v>46</v>
      </c>
      <c r="C13" s="7" t="s">
        <v>52</v>
      </c>
      <c r="D13" s="8" t="s">
        <v>53</v>
      </c>
      <c r="E13" s="9" t="n">
        <v>0</v>
      </c>
      <c r="F13" s="8" t="s">
        <v>54</v>
      </c>
      <c r="G13" s="8" t="s">
        <v>50</v>
      </c>
      <c r="H13" s="5" t="s">
        <v>55</v>
      </c>
      <c r="I13" s="8" t="s">
        <v>51</v>
      </c>
      <c r="J13" s="10"/>
      <c r="K13" s="11"/>
      <c r="L13" s="12" t="s">
        <v>22</v>
      </c>
    </row>
    <row r="14" customFormat="false" ht="30.75" hidden="false" customHeight="true" outlineLevel="0" collapsed="false">
      <c r="A14" s="5" t="n">
        <v>9</v>
      </c>
      <c r="B14" s="13" t="s">
        <v>46</v>
      </c>
      <c r="C14" s="7" t="s">
        <v>56</v>
      </c>
      <c r="D14" s="8" t="s">
        <v>57</v>
      </c>
      <c r="E14" s="9" t="n">
        <v>0</v>
      </c>
      <c r="F14" s="8" t="s">
        <v>54</v>
      </c>
      <c r="G14" s="8" t="s">
        <v>58</v>
      </c>
      <c r="H14" s="5" t="s">
        <v>55</v>
      </c>
      <c r="I14" s="8" t="s">
        <v>51</v>
      </c>
      <c r="J14" s="10"/>
      <c r="K14" s="11"/>
      <c r="L14" s="12" t="s">
        <v>22</v>
      </c>
    </row>
    <row r="15" customFormat="false" ht="57.75" hidden="false" customHeight="true" outlineLevel="0" collapsed="false">
      <c r="A15" s="5" t="n">
        <v>10</v>
      </c>
      <c r="B15" s="14" t="s">
        <v>59</v>
      </c>
      <c r="C15" s="7" t="s">
        <v>60</v>
      </c>
      <c r="D15" s="8" t="s">
        <v>61</v>
      </c>
      <c r="E15" s="9" t="n">
        <v>1</v>
      </c>
      <c r="F15" s="8" t="s">
        <v>49</v>
      </c>
      <c r="G15" s="8" t="s">
        <v>62</v>
      </c>
      <c r="H15" s="5" t="s">
        <v>20</v>
      </c>
      <c r="I15" s="8" t="s">
        <v>51</v>
      </c>
      <c r="J15" s="10"/>
      <c r="K15" s="11"/>
      <c r="L15" s="12" t="s">
        <v>22</v>
      </c>
    </row>
    <row r="16" customFormat="false" ht="30.75" hidden="false" customHeight="true" outlineLevel="0" collapsed="false">
      <c r="A16" s="5" t="n">
        <v>11</v>
      </c>
      <c r="B16" s="15" t="s">
        <v>63</v>
      </c>
      <c r="C16" s="7" t="s">
        <v>64</v>
      </c>
      <c r="D16" s="8" t="s">
        <v>65</v>
      </c>
      <c r="E16" s="9" t="n">
        <v>0</v>
      </c>
      <c r="F16" s="8" t="s">
        <v>54</v>
      </c>
      <c r="G16" s="8" t="s">
        <v>50</v>
      </c>
      <c r="H16" s="5" t="s">
        <v>66</v>
      </c>
      <c r="I16" s="8" t="s">
        <v>51</v>
      </c>
      <c r="J16" s="10"/>
      <c r="K16" s="11"/>
      <c r="L16" s="12" t="s">
        <v>22</v>
      </c>
    </row>
    <row r="17" customFormat="false" ht="30.75" hidden="false" customHeight="true" outlineLevel="0" collapsed="false">
      <c r="A17" s="5" t="n">
        <v>12</v>
      </c>
      <c r="B17" s="15" t="s">
        <v>63</v>
      </c>
      <c r="C17" s="7" t="s">
        <v>67</v>
      </c>
      <c r="D17" s="8" t="s">
        <v>68</v>
      </c>
      <c r="E17" s="9" t="n">
        <v>0</v>
      </c>
      <c r="F17" s="8" t="s">
        <v>51</v>
      </c>
      <c r="G17" s="8" t="s">
        <v>69</v>
      </c>
      <c r="H17" s="5" t="s">
        <v>70</v>
      </c>
      <c r="I17" s="8" t="s">
        <v>51</v>
      </c>
      <c r="J17" s="10"/>
      <c r="K17" s="11"/>
      <c r="L17" s="12" t="s">
        <v>22</v>
      </c>
    </row>
    <row r="18" customFormat="false" ht="30.75" hidden="false" customHeight="true" outlineLevel="0" collapsed="false">
      <c r="A18" s="5" t="n">
        <v>13</v>
      </c>
      <c r="B18" s="15" t="s">
        <v>63</v>
      </c>
      <c r="C18" s="7" t="s">
        <v>71</v>
      </c>
      <c r="D18" s="8" t="s">
        <v>72</v>
      </c>
      <c r="E18" s="9" t="n">
        <v>0</v>
      </c>
      <c r="F18" s="8" t="s">
        <v>51</v>
      </c>
      <c r="G18" s="8" t="s">
        <v>73</v>
      </c>
      <c r="H18" s="5" t="s">
        <v>66</v>
      </c>
      <c r="I18" s="8" t="s">
        <v>51</v>
      </c>
      <c r="J18" s="10"/>
      <c r="K18" s="11"/>
      <c r="L18" s="12" t="s">
        <v>22</v>
      </c>
    </row>
    <row r="19" customFormat="false" ht="17.25" hidden="false" customHeight="true" outlineLevel="0" collapsed="false">
      <c r="A19" s="5" t="n">
        <v>14</v>
      </c>
      <c r="B19" s="15" t="s">
        <v>63</v>
      </c>
      <c r="C19" s="7" t="s">
        <v>74</v>
      </c>
      <c r="D19" s="8" t="s">
        <v>75</v>
      </c>
      <c r="E19" s="9" t="n">
        <v>0</v>
      </c>
      <c r="F19" s="8" t="s">
        <v>51</v>
      </c>
      <c r="G19" s="8" t="s">
        <v>76</v>
      </c>
      <c r="H19" s="5" t="s">
        <v>66</v>
      </c>
      <c r="I19" s="8" t="s">
        <v>51</v>
      </c>
      <c r="J19" s="10"/>
      <c r="K19" s="11"/>
      <c r="L19" s="12" t="s">
        <v>22</v>
      </c>
    </row>
  </sheetData>
  <autoFilter ref="A5:L19"/>
  <mergeCells count="2">
    <mergeCell ref="A2:L2"/>
    <mergeCell ref="A3:L3"/>
  </mergeCells>
  <conditionalFormatting sqref="L6:L19">
    <cfRule type="cellIs" priority="2" operator="equal" aboveAverage="0" equalAverage="0" bottom="0" percent="0" rank="0" text="" dxfId="9">
      <formula>"Yes"</formula>
    </cfRule>
  </conditionalFormatting>
  <conditionalFormatting sqref="A6:K19">
    <cfRule type="expression" priority="3" aboveAverage="0" equalAverage="0" bottom="0" percent="0" rank="0" text="" dxfId="10">
      <formula>$L6="Yes"</formula>
    </cfRule>
  </conditionalFormatting>
  <dataValidations count="1">
    <dataValidation allowBlank="true" errorStyle="stop" operator="between" showDropDown="false" showErrorMessage="false" showInputMessage="false" sqref="L6:L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16" t="s">
        <v>78</v>
      </c>
      <c r="B3" s="17" t="n">
        <f aca="false">SUM(Plan!$E$6:$E$19)</f>
        <v>19.5</v>
      </c>
    </row>
    <row r="4" customFormat="false" ht="15" hidden="false" customHeight="false" outlineLevel="0" collapsed="false">
      <c r="A4" s="16" t="s">
        <v>79</v>
      </c>
      <c r="B4" s="17" t="n">
        <f aca="false">SUMIF(Plan!$B$6:$B$19,"1. Full proof",Plan!$E$6:$E$19)</f>
        <v>17.5</v>
      </c>
    </row>
    <row r="5" customFormat="false" ht="15" hidden="false" customHeight="false" outlineLevel="0" collapsed="false">
      <c r="A5" s="16" t="s">
        <v>80</v>
      </c>
      <c r="B5" s="17" t="n">
        <f aca="false">SUMIF(Plan!$L$6:$L$19,"&lt;&gt;Yes",Plan!$E$6:$E$19)</f>
        <v>19.5</v>
      </c>
    </row>
    <row r="6" customFormat="false" ht="15" hidden="false" customHeight="false" outlineLevel="0" collapsed="false">
      <c r="A6" s="16" t="s">
        <v>81</v>
      </c>
      <c r="B6" s="17" t="n">
        <f aca="false">SUM(Plan!$J$6:$J$19)</f>
        <v>0</v>
      </c>
    </row>
    <row r="7" customFormat="false" ht="15" hidden="false" customHeight="false" outlineLevel="0" collapsed="false">
      <c r="A7" s="16" t="s">
        <v>82</v>
      </c>
      <c r="B7" s="18" t="n">
        <f aca="false">COUNTIF(Plan!$L$6:$L$19,"Yes")</f>
        <v>0</v>
      </c>
    </row>
    <row r="8" customFormat="false" ht="15" hidden="false" customHeight="false" outlineLevel="0" collapsed="false">
      <c r="A8" s="16" t="s">
        <v>83</v>
      </c>
      <c r="B8" s="18" t="n">
        <f aca="false">COUNTA(Plan!$C$6:$C$19)</f>
        <v>14</v>
      </c>
    </row>
    <row r="9" customFormat="false" ht="15" hidden="false" customHeight="false" outlineLevel="0" collapsed="false">
      <c r="A9" s="16" t="s">
        <v>84</v>
      </c>
      <c r="B9" s="19" t="n">
        <v>30</v>
      </c>
    </row>
    <row r="10" customFormat="false" ht="15" hidden="false" customHeight="false" outlineLevel="0" collapsed="false">
      <c r="A10" s="16" t="s">
        <v>85</v>
      </c>
      <c r="B10" s="20" t="n">
        <f aca="false">IF(B9=0,0,B5/B9)</f>
        <v>0.65</v>
      </c>
    </row>
    <row r="11" customFormat="false" ht="15" hidden="false" customHeight="false" outlineLevel="0" collapsed="false">
      <c r="A11" s="21" t="s">
        <v>86</v>
      </c>
    </row>
    <row r="13" customFormat="false" ht="15" hidden="false" customHeight="false" outlineLevel="0" collapsed="false">
      <c r="A13" s="22" t="s">
        <v>87</v>
      </c>
    </row>
    <row r="14" customFormat="false" ht="15" hidden="false" customHeight="false" outlineLevel="0" collapsed="false">
      <c r="A14" s="23" t="s">
        <v>10</v>
      </c>
      <c r="B14" s="23" t="s">
        <v>88</v>
      </c>
      <c r="C14" s="23" t="s">
        <v>89</v>
      </c>
    </row>
    <row r="15" customFormat="false" ht="15" hidden="false" customHeight="false" outlineLevel="0" collapsed="false">
      <c r="A15" s="16" t="s">
        <v>55</v>
      </c>
      <c r="B15" s="24" t="n">
        <f aca="false">SUMIF(Plan!$H$6:$H$19,A15,Plan!$E$6:$E$19)</f>
        <v>0</v>
      </c>
      <c r="C15" s="25" t="n">
        <f aca="false">COUNTIF(Plan!$H$6:$H$19,A15)</f>
        <v>2</v>
      </c>
    </row>
    <row r="16" customFormat="false" ht="15" hidden="false" customHeight="false" outlineLevel="0" collapsed="false">
      <c r="A16" s="16" t="s">
        <v>20</v>
      </c>
      <c r="B16" s="24" t="n">
        <f aca="false">SUMIF(Plan!$H$6:$H$19,A16,Plan!$E$6:$E$19)</f>
        <v>12.5</v>
      </c>
      <c r="C16" s="25" t="n">
        <f aca="false">COUNTIF(Plan!$H$6:$H$19,A16)</f>
        <v>5</v>
      </c>
    </row>
    <row r="17" customFormat="false" ht="15" hidden="false" customHeight="false" outlineLevel="0" collapsed="false">
      <c r="A17" s="16" t="s">
        <v>35</v>
      </c>
      <c r="B17" s="24" t="n">
        <f aca="false">SUMIF(Plan!$H$6:$H$19,A17,Plan!$E$6:$E$19)</f>
        <v>7</v>
      </c>
      <c r="C17" s="25" t="n">
        <f aca="false">COUNTIF(Plan!$H$6:$H$19,A17)</f>
        <v>3</v>
      </c>
    </row>
    <row r="18" customFormat="false" ht="15" hidden="false" customHeight="false" outlineLevel="0" collapsed="false">
      <c r="A18" s="16" t="s">
        <v>66</v>
      </c>
      <c r="B18" s="24" t="n">
        <f aca="false">SUMIF(Plan!$H$6:$H$19,A18,Plan!$E$6:$E$19)</f>
        <v>0</v>
      </c>
      <c r="C18" s="25" t="n">
        <f aca="false">COUNTIF(Plan!$H$6:$H$19,A18)</f>
        <v>3</v>
      </c>
    </row>
    <row r="19" customFormat="false" ht="15" hidden="false" customHeight="false" outlineLevel="0" collapsed="false">
      <c r="A19" s="16" t="s">
        <v>70</v>
      </c>
      <c r="B19" s="24" t="n">
        <f aca="false">SUMIF(Plan!$H$6:$H$19,A19,Plan!$E$6:$E$19)</f>
        <v>0</v>
      </c>
      <c r="C19" s="25" t="n">
        <f aca="false">COUNTIF(Plan!$H$6:$H$19,A19)</f>
        <v>1</v>
      </c>
    </row>
    <row r="20" customFormat="false" ht="15" hidden="false" customHeight="false" outlineLevel="0" collapsed="false">
      <c r="A20" s="26" t="s">
        <v>90</v>
      </c>
      <c r="B20" s="27" t="n">
        <f aca="false">SUM(B15:B19)</f>
        <v>19.5</v>
      </c>
      <c r="C20" s="28" t="n">
        <f aca="false">SUM(C15:C19)</f>
        <v>14</v>
      </c>
    </row>
    <row r="21" customFormat="false" ht="15" hidden="false" customHeight="false" outlineLevel="0" collapsed="false">
      <c r="A21" s="21" t="s">
        <v>91</v>
      </c>
      <c r="B21" s="29" t="str">
        <f aca="false">IF(ABS(B20-B3)&lt;0.001,"OK","Mismatch")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92</v>
      </c>
    </row>
    <row r="2" customFormat="false" ht="27.7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3</v>
      </c>
      <c r="B4" s="4" t="s">
        <v>94</v>
      </c>
      <c r="C4" s="4" t="s">
        <v>95</v>
      </c>
      <c r="D4" s="3" t="s">
        <v>96</v>
      </c>
      <c r="E4" s="4" t="s">
        <v>97</v>
      </c>
      <c r="F4" s="4" t="s">
        <v>98</v>
      </c>
      <c r="G4" s="3" t="s">
        <v>99</v>
      </c>
    </row>
    <row r="5" customFormat="false" ht="44.25" hidden="false" customHeight="true" outlineLevel="0" collapsed="false">
      <c r="A5" s="5" t="n">
        <v>1</v>
      </c>
      <c r="B5" s="7" t="s">
        <v>100</v>
      </c>
      <c r="C5" s="8" t="s">
        <v>26</v>
      </c>
      <c r="D5" s="5" t="s">
        <v>101</v>
      </c>
      <c r="E5" s="8" t="s">
        <v>102</v>
      </c>
      <c r="F5" s="11"/>
      <c r="G5" s="12" t="s">
        <v>103</v>
      </c>
    </row>
    <row r="6" customFormat="false" ht="30.75" hidden="false" customHeight="true" outlineLevel="0" collapsed="false">
      <c r="A6" s="5" t="n">
        <v>2</v>
      </c>
      <c r="B6" s="7" t="s">
        <v>104</v>
      </c>
      <c r="C6" s="8" t="s">
        <v>105</v>
      </c>
      <c r="D6" s="5" t="s">
        <v>106</v>
      </c>
      <c r="E6" s="8" t="s">
        <v>107</v>
      </c>
      <c r="F6" s="11"/>
      <c r="G6" s="12" t="s">
        <v>103</v>
      </c>
    </row>
    <row r="7" customFormat="false" ht="30.75" hidden="false" customHeight="true" outlineLevel="0" collapsed="false">
      <c r="A7" s="5" t="n">
        <v>3</v>
      </c>
      <c r="B7" s="7" t="s">
        <v>108</v>
      </c>
      <c r="C7" s="8" t="s">
        <v>31</v>
      </c>
      <c r="D7" s="5" t="s">
        <v>109</v>
      </c>
      <c r="E7" s="8" t="s">
        <v>110</v>
      </c>
      <c r="F7" s="11"/>
      <c r="G7" s="12" t="s">
        <v>103</v>
      </c>
    </row>
    <row r="8" customFormat="false" ht="44.25" hidden="false" customHeight="true" outlineLevel="0" collapsed="false">
      <c r="A8" s="5" t="n">
        <v>4</v>
      </c>
      <c r="B8" s="7" t="s">
        <v>111</v>
      </c>
      <c r="C8" s="8" t="s">
        <v>41</v>
      </c>
      <c r="D8" s="5" t="s">
        <v>112</v>
      </c>
      <c r="E8" s="8" t="s">
        <v>113</v>
      </c>
      <c r="F8" s="11"/>
      <c r="G8" s="12" t="s">
        <v>103</v>
      </c>
    </row>
    <row r="9" customFormat="false" ht="30.75" hidden="false" customHeight="true" outlineLevel="0" collapsed="false">
      <c r="A9" s="5" t="n">
        <v>5</v>
      </c>
      <c r="B9" s="7" t="s">
        <v>114</v>
      </c>
      <c r="C9" s="8" t="s">
        <v>21</v>
      </c>
      <c r="D9" s="5" t="s">
        <v>115</v>
      </c>
      <c r="E9" s="8" t="s">
        <v>116</v>
      </c>
      <c r="F9" s="11"/>
      <c r="G9" s="12" t="s">
        <v>103</v>
      </c>
    </row>
    <row r="10" customFormat="false" ht="30.75" hidden="false" customHeight="true" outlineLevel="0" collapsed="false">
      <c r="A10" s="5" t="n">
        <v>6</v>
      </c>
      <c r="B10" s="7" t="s">
        <v>117</v>
      </c>
      <c r="C10" s="8" t="s">
        <v>36</v>
      </c>
      <c r="D10" s="5" t="s">
        <v>118</v>
      </c>
      <c r="E10" s="8" t="s">
        <v>119</v>
      </c>
      <c r="F10" s="11"/>
      <c r="G10" s="12" t="s">
        <v>103</v>
      </c>
    </row>
    <row r="12" customFormat="false" ht="15" hidden="false" customHeight="false" outlineLevel="0" collapsed="false">
      <c r="A12" s="30" t="s">
        <v>120</v>
      </c>
      <c r="C12" s="30" t="str">
        <f aca="false">COUNTIF(G5:G10,"Yes")&amp;" of "&amp;COUNTA(B5:B10)</f>
        <v>0 of 6</v>
      </c>
    </row>
  </sheetData>
  <mergeCells count="1">
    <mergeCell ref="A2:G2"/>
  </mergeCells>
  <conditionalFormatting sqref="G5:G10">
    <cfRule type="cellIs" priority="2" operator="equal" aboveAverage="0" equalAverage="0" bottom="0" percent="0" rank="0" text="" dxfId="9">
      <formula>"Yes"</formula>
    </cfRule>
    <cfRule type="cellIs" priority="3" operator="equal" aboveAverage="0" equalAverage="0" bottom="0" percent="0" rank="0" text="" dxfId="11">
      <formula>"No"</formula>
    </cfRule>
  </conditionalFormatting>
  <dataValidations count="1">
    <dataValidation allowBlank="true" errorStyle="stop" operator="between" showDropDown="false" showErrorMessage="false" showInputMessage="false" sqref="G5:G10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2026-10-19T03:00:45Z</dcterms:created>
  <dc:creator>openpyxl</dc:creator>
  <dc:description/>
  <dc:language>en-US</dc:language>
  <cp:lastModifiedBy/>
  <dcterms:modified xsi:type="dcterms:W3CDTF">2026-10-19T03:00:45Z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